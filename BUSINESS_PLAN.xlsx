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Revenue Model" state="visible" r:id="rId5"/>
    <sheet sheetId="3" name="User Growth" state="visible" r:id="rId6"/>
    <sheet sheetId="4" name="P&amp;L" state="visible" r:id="rId7"/>
    <sheet sheetId="5" name="Expenses" state="visible" r:id="rId8"/>
    <sheet sheetId="6" name="Unit Economics" state="visible" r:id="rId9"/>
    <sheet sheetId="7" name="Funding Use" state="visible" r:id="rId10"/>
    <sheet sheetId="8" name="Milestones" state="visible" r:id="rId11"/>
  </sheets>
  <calcPr calcId="171027"/>
</workbook>
</file>

<file path=xl/sharedStrings.xml><?xml version="1.0" encoding="utf-8"?>
<sst xmlns="http://schemas.openxmlformats.org/spreadsheetml/2006/main" count="307" uniqueCount="256">
  <si>
    <t>PHILLYSPORTS.COM - BUSINESS PLAN SUMMARY</t>
  </si>
  <si>
    <t>COMPANY OVERVIEW</t>
  </si>
  <si>
    <t>Company</t>
  </si>
  <si>
    <t>PhillySports.com</t>
  </si>
  <si>
    <t>Stage</t>
  </si>
  <si>
    <t>Pre-Seed</t>
  </si>
  <si>
    <t>Founded</t>
  </si>
  <si>
    <t>2024</t>
  </si>
  <si>
    <t>Location</t>
  </si>
  <si>
    <t>Philadelphia, PA</t>
  </si>
  <si>
    <t>Founder</t>
  </si>
  <si>
    <t>Solo Founder</t>
  </si>
  <si>
    <t>Industry</t>
  </si>
  <si>
    <t>Sports Media / Community</t>
  </si>
  <si>
    <t>Target Market</t>
  </si>
  <si>
    <t>Philadelphia Sports Fans</t>
  </si>
  <si>
    <t>Market Size</t>
  </si>
  <si>
    <t>6.2M Metro Population</t>
  </si>
  <si>
    <t>KEY METRICS</t>
  </si>
  <si>
    <t>Lines of Code</t>
  </si>
  <si>
    <t>158,744</t>
  </si>
  <si>
    <t>API Endpoints</t>
  </si>
  <si>
    <t>239</t>
  </si>
  <si>
    <t>HTML Pages</t>
  </si>
  <si>
    <t>69</t>
  </si>
  <si>
    <t>Mobile App Lines</t>
  </si>
  <si>
    <t>64,708</t>
  </si>
  <si>
    <t>Pro Teams Covered</t>
  </si>
  <si>
    <t>4 (Eagles, Phillies, Sixers, Flyers)</t>
  </si>
  <si>
    <t>College Teams</t>
  </si>
  <si>
    <t>6+ Pennsylvania schools</t>
  </si>
  <si>
    <t>FUNDING REQUEST</t>
  </si>
  <si>
    <t>Amount Sought</t>
  </si>
  <si>
    <t>$250,000 - $500,000</t>
  </si>
  <si>
    <t>Use of Funds</t>
  </si>
  <si>
    <t>Product, Marketing, Operations</t>
  </si>
  <si>
    <t>REVENUE MODEL - 5 STREAMS</t>
  </si>
  <si>
    <t>Revenue Stream</t>
  </si>
  <si>
    <t>Type</t>
  </si>
  <si>
    <t>Year 1</t>
  </si>
  <si>
    <t>Year 2</t>
  </si>
  <si>
    <t>Year 3</t>
  </si>
  <si>
    <t>Assumptions</t>
  </si>
  <si>
    <t>Premium Memberships</t>
  </si>
  <si>
    <t>Subscription</t>
  </si>
  <si>
    <t>Diehard+ $4.99/mo, Pro $9.99/mo, 2-5% conversion</t>
  </si>
  <si>
    <t>Affiliate Revenue</t>
  </si>
  <si>
    <t>Commission</t>
  </si>
  <si>
    <t>Sportsbooks $50-200 CPA, Merch 5-10%</t>
  </si>
  <si>
    <t>Display Advertising</t>
  </si>
  <si>
    <t>CPM/RPM</t>
  </si>
  <si>
    <t>AdSense $2-5 RPM, Mediavine $15-25 at scale</t>
  </si>
  <si>
    <t>Virtual Currency</t>
  </si>
  <si>
    <t>Microtransaction</t>
  </si>
  <si>
    <t>DD packs $0.99-$9.99, 1-3% purchase rate</t>
  </si>
  <si>
    <t>Marketplace Fees</t>
  </si>
  <si>
    <t>Transaction</t>
  </si>
  <si>
    <t>10% fee on user listings</t>
  </si>
  <si>
    <t>TOTAL REVENUE</t>
  </si>
  <si>
    <t>USER GROWTH PROJECTIONS (36 MONTHS)</t>
  </si>
  <si>
    <t>Month</t>
  </si>
  <si>
    <t>New Users</t>
  </si>
  <si>
    <t>Churned</t>
  </si>
  <si>
    <t>Total Users</t>
  </si>
  <si>
    <t>MAU</t>
  </si>
  <si>
    <t>Premium</t>
  </si>
  <si>
    <t>PROJECTED INCOME STATEMENT</t>
  </si>
  <si>
    <t/>
  </si>
  <si>
    <t>REVENUE</t>
  </si>
  <si>
    <t>Advertising</t>
  </si>
  <si>
    <t>Total Revenue</t>
  </si>
  <si>
    <t>EXPENSES</t>
  </si>
  <si>
    <t>Product Development</t>
  </si>
  <si>
    <t>Marketing &amp; UA</t>
  </si>
  <si>
    <t>Infrastructure (Hosting)</t>
  </si>
  <si>
    <t>Operations</t>
  </si>
  <si>
    <t>Legal &amp; Admin</t>
  </si>
  <si>
    <t>Total Expenses</t>
  </si>
  <si>
    <t>NET INCOME</t>
  </si>
  <si>
    <t>Cumulative P&amp;L</t>
  </si>
  <si>
    <t>OPERATING EXPENSES BREAKDOWN</t>
  </si>
  <si>
    <t>Expense Category</t>
  </si>
  <si>
    <t>Notes</t>
  </si>
  <si>
    <t>PRODUCT DEVELOPMENT</t>
  </si>
  <si>
    <t>Contractor Development</t>
  </si>
  <si>
    <t>Part-time contractors, scale as needed</t>
  </si>
  <si>
    <t>Design &amp; UX</t>
  </si>
  <si>
    <t>UI improvements, mobile updates</t>
  </si>
  <si>
    <t>Tools &amp; Software</t>
  </si>
  <si>
    <t>Dev tools, APIs, testing</t>
  </si>
  <si>
    <t>QA &amp; Testing</t>
  </si>
  <si>
    <t>Bug fixes, user testing</t>
  </si>
  <si>
    <t>MARKETING</t>
  </si>
  <si>
    <t>Social Media Ads</t>
  </si>
  <si>
    <t>Facebook, Instagram, Twitter</t>
  </si>
  <si>
    <t>Content Marketing</t>
  </si>
  <si>
    <t>SEO, blog, video content</t>
  </si>
  <si>
    <t>Local Partnerships</t>
  </si>
  <si>
    <t>Radio, events, influencers</t>
  </si>
  <si>
    <t>Referral Program</t>
  </si>
  <si>
    <t>User acquisition bonuses</t>
  </si>
  <si>
    <t>INFRASTRUCTURE</t>
  </si>
  <si>
    <t>Vercel Hosting</t>
  </si>
  <si>
    <t>Scales with traffic</t>
  </si>
  <si>
    <t>MongoDB Atlas</t>
  </si>
  <si>
    <t>Database hosting</t>
  </si>
  <si>
    <t>Pusher (Real-time)</t>
  </si>
  <si>
    <t>Live features</t>
  </si>
  <si>
    <t>Third-party APIs</t>
  </si>
  <si>
    <t>Sports data, payments</t>
  </si>
  <si>
    <t>OPERATIONS</t>
  </si>
  <si>
    <t>Admin/Moderation</t>
  </si>
  <si>
    <t>Community management</t>
  </si>
  <si>
    <t>Customer Support</t>
  </si>
  <si>
    <t>User inquiries</t>
  </si>
  <si>
    <t>LEGAL &amp; ADMIN</t>
  </si>
  <si>
    <t>Legal/Compliance</t>
  </si>
  <si>
    <t>Terms, privacy, contracts</t>
  </si>
  <si>
    <t>Accounting</t>
  </si>
  <si>
    <t>Bookkeeping, taxes</t>
  </si>
  <si>
    <t>Insurance</t>
  </si>
  <si>
    <t>Liability coverage</t>
  </si>
  <si>
    <t>UNIT ECONOMICS</t>
  </si>
  <si>
    <t>Metric</t>
  </si>
  <si>
    <t>ACQUISITION</t>
  </si>
  <si>
    <t>Customer Acquisition Cost (CAC)</t>
  </si>
  <si>
    <t>Organic-heavy strategy</t>
  </si>
  <si>
    <t>Paid CAC</t>
  </si>
  <si>
    <t>Paid channels only</t>
  </si>
  <si>
    <t>Organic CAC</t>
  </si>
  <si>
    <t>SEO, referrals, viral</t>
  </si>
  <si>
    <t>RETENTION</t>
  </si>
  <si>
    <t>Monthly Churn Rate</t>
  </si>
  <si>
    <t>8%</t>
  </si>
  <si>
    <t>6%</t>
  </si>
  <si>
    <t>5%</t>
  </si>
  <si>
    <t>Improves with engagement</t>
  </si>
  <si>
    <t>Annual Retention</t>
  </si>
  <si>
    <t>38%</t>
  </si>
  <si>
    <t>48%</t>
  </si>
  <si>
    <t>54%</t>
  </si>
  <si>
    <t>1 - (monthly churn)^12</t>
  </si>
  <si>
    <t>MONETIZATION</t>
  </si>
  <si>
    <t>ARPU (Monthly)</t>
  </si>
  <si>
    <t>Avg revenue per user</t>
  </si>
  <si>
    <t>Premium Conversion Rate</t>
  </si>
  <si>
    <t>2%</t>
  </si>
  <si>
    <t>3%</t>
  </si>
  <si>
    <t>4%</t>
  </si>
  <si>
    <t>Free to paid</t>
  </si>
  <si>
    <t>Premium ARPU</t>
  </si>
  <si>
    <t>Avg revenue, premium users</t>
  </si>
  <si>
    <t>LIFETIME VALUE</t>
  </si>
  <si>
    <t>LTV (All Users)</t>
  </si>
  <si>
    <t>ARPU × months retained</t>
  </si>
  <si>
    <t>LTV (Premium)</t>
  </si>
  <si>
    <t>Higher retention</t>
  </si>
  <si>
    <t>LTV:CAC Ratio</t>
  </si>
  <si>
    <t>Target: &gt;3.0</t>
  </si>
  <si>
    <t>BREAK-EVEN</t>
  </si>
  <si>
    <t>Users to Break Even</t>
  </si>
  <si>
    <t>Based on projections</t>
  </si>
  <si>
    <t>Months to Payback</t>
  </si>
  <si>
    <t>CAC / monthly ARPU</t>
  </si>
  <si>
    <t>USE OF FUNDS ($250K - $500K)</t>
  </si>
  <si>
    <t>Category</t>
  </si>
  <si>
    <t>%</t>
  </si>
  <si>
    <t>At $250K</t>
  </si>
  <si>
    <t>At $500K</t>
  </si>
  <si>
    <t>Details</t>
  </si>
  <si>
    <t>40%</t>
  </si>
  <si>
    <t>Mobile app polish, new features, contractor devs</t>
  </si>
  <si>
    <t>Marketing &amp; User Acquisition</t>
  </si>
  <si>
    <t>30%</t>
  </si>
  <si>
    <t>Social ads, local partnerships, content</t>
  </si>
  <si>
    <t>Operations &amp; Infrastructure</t>
  </si>
  <si>
    <t>15%</t>
  </si>
  <si>
    <t>Hosting, APIs, moderation, support</t>
  </si>
  <si>
    <t>10%</t>
  </si>
  <si>
    <t>Legal setup, compliance, accounting</t>
  </si>
  <si>
    <t>Reserve</t>
  </si>
  <si>
    <t>Emergency fund, opportunities</t>
  </si>
  <si>
    <t>TOTAL</t>
  </si>
  <si>
    <t>100%</t>
  </si>
  <si>
    <t>RUNWAY ESTIMATES</t>
  </si>
  <si>
    <t>At $250K (conservative burn)</t>
  </si>
  <si>
    <t>12-15 months</t>
  </si>
  <si>
    <t>At $500K (conservative burn)</t>
  </si>
  <si>
    <t>18-24 months</t>
  </si>
  <si>
    <t>Monthly burn rate (avg)</t>
  </si>
  <si>
    <t>$15K-$25K</t>
  </si>
  <si>
    <t>KEY MILESTONES</t>
  </si>
  <si>
    <t>Timeline</t>
  </si>
  <si>
    <t>Milestone</t>
  </si>
  <si>
    <t>Target Metric</t>
  </si>
  <si>
    <t>Dependencies</t>
  </si>
  <si>
    <t>Month 1-2</t>
  </si>
  <si>
    <t>Close pre-seed funding</t>
  </si>
  <si>
    <t>$250K-$500K raised</t>
  </si>
  <si>
    <t>Investor meetings</t>
  </si>
  <si>
    <t>Month 2-3</t>
  </si>
  <si>
    <t>iOS app launch</t>
  </si>
  <si>
    <t>App Store live</t>
  </si>
  <si>
    <t>Apple Developer approval</t>
  </si>
  <si>
    <t>Month 3-4</t>
  </si>
  <si>
    <t>Marketing campaign launch</t>
  </si>
  <si>
    <t>5,000 signups</t>
  </si>
  <si>
    <t>Funding</t>
  </si>
  <si>
    <t>Month 4-6</t>
  </si>
  <si>
    <t>Content partnerships</t>
  </si>
  <si>
    <t>3+ local media deals</t>
  </si>
  <si>
    <t>Outreach</t>
  </si>
  <si>
    <t>Month 6</t>
  </si>
  <si>
    <t>First revenue milestone</t>
  </si>
  <si>
    <t>$5K MRR</t>
  </si>
  <si>
    <t>User base</t>
  </si>
  <si>
    <t>Month 9</t>
  </si>
  <si>
    <t>Community growth</t>
  </si>
  <si>
    <t>25,000 users</t>
  </si>
  <si>
    <t>Marketing</t>
  </si>
  <si>
    <t>Month 12</t>
  </si>
  <si>
    <t>Seed-ready metrics</t>
  </si>
  <si>
    <t>50K users, $15K MRR</t>
  </si>
  <si>
    <t>Execution</t>
  </si>
  <si>
    <t>Month 12-15</t>
  </si>
  <si>
    <t>Seed fundraise</t>
  </si>
  <si>
    <t>$1M-$2M target</t>
  </si>
  <si>
    <t>Traction proof</t>
  </si>
  <si>
    <t>Month 18</t>
  </si>
  <si>
    <t>Regional expansion planning</t>
  </si>
  <si>
    <t>New city research</t>
  </si>
  <si>
    <t>Philly proven</t>
  </si>
  <si>
    <t>Month 24</t>
  </si>
  <si>
    <t>Profitability path</t>
  </si>
  <si>
    <t>Break-even or close</t>
  </si>
  <si>
    <t>Revenue growth</t>
  </si>
  <si>
    <t>Month 36</t>
  </si>
  <si>
    <t>Series A ready</t>
  </si>
  <si>
    <t>500K users, $50K MRR</t>
  </si>
  <si>
    <t>Full execution</t>
  </si>
  <si>
    <t>COMPLETED</t>
  </si>
  <si>
    <t>Done</t>
  </si>
  <si>
    <t>Platform built</t>
  </si>
  <si>
    <t>158K lines of code</t>
  </si>
  <si>
    <t>Solo founder</t>
  </si>
  <si>
    <t>Mobile app developed</t>
  </si>
  <si>
    <t>64K lines TypeScript</t>
  </si>
  <si>
    <t>React Native + Expo</t>
  </si>
  <si>
    <t>All core features</t>
  </si>
  <si>
    <t>239 API endpoints</t>
  </si>
  <si>
    <t>Full stack</t>
  </si>
  <si>
    <t>Real-time infrastructure</t>
  </si>
  <si>
    <t>Pusher integration</t>
  </si>
  <si>
    <t>Payment systems</t>
  </si>
  <si>
    <t>Stripe + PayPal</t>
  </si>
  <si>
    <t>Commerce ready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</si>
</sst>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"/>
  </numFmts>
  <fonts count="9" x14ac:knownFonts="1">
    <font>
      <color theme="1"/>
      <family val="2"/>
      <scheme val="minor"/>
      <sz val="11"/>
      <name val="Calibri"/>
    </font>
    <font>
      <b/>
      <color rgb="FFFFD700"/>
      <sz val="16"/>
    </font>
    <font>
      <b/>
      <sz val="12"/>
    </font>
    <font>
      <b/>
    </font>
    <font>
      <b/>
      <color rgb="FFFFD700"/>
      <sz val="14"/>
    </font>
    <font>
      <b/>
      <color rgb="FFFFFFFF"/>
      <sz val="11"/>
    </font>
    <font>
      <b/>
      <sz val="11"/>
    </font>
    <font>
      <b/>
      <color rgb="FF004C54"/>
      <sz val="12"/>
    </font>
    <font>
      <color rgb="FF004C54"/>
    </font>
  </fonts>
  <fills count="4">
    <fill>
      <patternFill patternType="none"/>
    </fill>
    <fill>
      <patternFill patternType="gray125"/>
    </fill>
    <fill>
      <patternFill patternType="solid">
        <fgColor rgb="FF1a1a1a"/>
      </patternFill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64" fontId="0" fillId="0" borderId="0" xfId="0" applyNumberFormat="1"/>
    <xf numFmtId="164" fontId="3" fillId="0" borderId="0" xfId="0" applyNumberFormat="1" applyFont="1"/>
    <xf numFmtId="0" fontId="6" fillId="0" borderId="0" xfId="0" applyFont="1"/>
    <xf numFmtId="0" fontId="3" fillId="3" borderId="0" xfId="0" applyFont="1" applyFill="1"/>
    <xf numFmtId="164" fontId="3" fillId="3" borderId="0" xfId="0" applyNumberFormat="1" applyFont="1" applyFill="1"/>
    <xf numFmtId="0" fontId="7" fillId="0" borderId="0" xfId="0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FormatPr defaultRowHeight="15" outlineLevelRow="0" outlineLevelCol="0" x14ac:dyDescent="55"/>
  <cols>
    <col min="1" max="1" width="30" customWidth="1"/>
    <col min="2" max="4" width="25" customWidth="1"/>
  </cols>
  <sheetData>
    <row r="1" ht="35" customHeight="1" spans="1:4" x14ac:dyDescent="0.25">
      <c r="A1" s="1" t="s">
        <v>0</v>
      </c>
      <c r="B1" s="1"/>
      <c r="C1" s="1"/>
      <c r="D1" s="1"/>
    </row>
    <row r="3" spans="1:1" x14ac:dyDescent="0.25">
      <c r="A3" s="2" t="s">
        <v>1</v>
      </c>
    </row>
    <row r="4" spans="1:2" x14ac:dyDescent="0.25">
      <c r="A4" s="3" t="s">
        <v>2</v>
      </c>
      <c r="B4" t="s">
        <v>3</v>
      </c>
    </row>
    <row r="5" spans="1:2" x14ac:dyDescent="0.25">
      <c r="A5" s="3" t="s">
        <v>4</v>
      </c>
      <c r="B5" t="s">
        <v>5</v>
      </c>
    </row>
    <row r="6" spans="1:2" x14ac:dyDescent="0.25">
      <c r="A6" s="3" t="s">
        <v>6</v>
      </c>
      <c r="B6" t="s">
        <v>7</v>
      </c>
    </row>
    <row r="7" spans="1:2" x14ac:dyDescent="0.25">
      <c r="A7" s="3" t="s">
        <v>8</v>
      </c>
      <c r="B7" t="s">
        <v>9</v>
      </c>
    </row>
    <row r="8" spans="1:2" x14ac:dyDescent="0.25">
      <c r="A8" s="3" t="s">
        <v>10</v>
      </c>
      <c r="B8" t="s">
        <v>11</v>
      </c>
    </row>
    <row r="9" spans="1:2" x14ac:dyDescent="0.25">
      <c r="A9" s="3" t="s">
        <v>12</v>
      </c>
      <c r="B9" t="s">
        <v>13</v>
      </c>
    </row>
    <row r="10" spans="1:2" x14ac:dyDescent="0.25">
      <c r="A10" s="3" t="s">
        <v>14</v>
      </c>
      <c r="B10" t="s">
        <v>15</v>
      </c>
    </row>
    <row r="11" spans="1:2" x14ac:dyDescent="0.25">
      <c r="A11" s="3" t="s">
        <v>16</v>
      </c>
      <c r="B11" t="s">
        <v>17</v>
      </c>
    </row>
    <row r="13" spans="1:1" x14ac:dyDescent="0.25">
      <c r="A13" s="2" t="s">
        <v>18</v>
      </c>
    </row>
    <row r="14" spans="1:2" x14ac:dyDescent="0.25">
      <c r="A14" s="3" t="s">
        <v>19</v>
      </c>
      <c r="B14" t="s">
        <v>20</v>
      </c>
    </row>
    <row r="15" spans="1:2" x14ac:dyDescent="0.25">
      <c r="A15" s="3" t="s">
        <v>21</v>
      </c>
      <c r="B15" t="s">
        <v>22</v>
      </c>
    </row>
    <row r="16" spans="1:2" x14ac:dyDescent="0.25">
      <c r="A16" s="3" t="s">
        <v>23</v>
      </c>
      <c r="B16" t="s">
        <v>24</v>
      </c>
    </row>
    <row r="17" spans="1:2" x14ac:dyDescent="0.25">
      <c r="A17" s="3" t="s">
        <v>25</v>
      </c>
      <c r="B17" t="s">
        <v>26</v>
      </c>
    </row>
    <row r="18" spans="1:2" x14ac:dyDescent="0.25">
      <c r="A18" s="3" t="s">
        <v>27</v>
      </c>
      <c r="B18" t="s">
        <v>28</v>
      </c>
    </row>
    <row r="19" spans="1:2" x14ac:dyDescent="0.25">
      <c r="A19" s="3" t="s">
        <v>29</v>
      </c>
      <c r="B19" t="s">
        <v>30</v>
      </c>
    </row>
    <row r="21" spans="1:1" x14ac:dyDescent="0.25">
      <c r="A21" s="2" t="s">
        <v>31</v>
      </c>
    </row>
    <row r="22" spans="1:2" x14ac:dyDescent="0.25">
      <c r="A22" s="3" t="s">
        <v>32</v>
      </c>
      <c r="B22" t="s">
        <v>33</v>
      </c>
    </row>
    <row r="23" spans="1:2" x14ac:dyDescent="0.25">
      <c r="A23" s="3" t="s">
        <v>34</v>
      </c>
      <c r="B23" t="s">
        <v>35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FormatPr defaultRowHeight="15" outlineLevelRow="0" outlineLevelCol="0" x14ac:dyDescent="55"/>
  <cols>
    <col min="1" max="1" width="25" customWidth="1"/>
    <col min="2" max="2" width="20" customWidth="1"/>
    <col min="3" max="5" width="15" customWidth="1"/>
    <col min="6" max="6" width="35" customWidth="1"/>
  </cols>
  <sheetData>
    <row r="1" ht="30" customHeight="1" spans="1:6" x14ac:dyDescent="0.25">
      <c r="A1" s="4" t="s">
        <v>36</v>
      </c>
      <c r="B1" s="4"/>
      <c r="C1" s="4"/>
      <c r="D1" s="4"/>
      <c r="E1" s="4"/>
      <c r="F1" s="4"/>
    </row>
    <row r="3" ht="25" customHeight="1" spans="1:6" s="5" customFormat="1" x14ac:dyDescent="0.25">
      <c r="A3" s="6" t="s">
        <v>37</v>
      </c>
      <c r="B3" s="6" t="s">
        <v>38</v>
      </c>
      <c r="C3" s="6" t="s">
        <v>39</v>
      </c>
      <c r="D3" s="6" t="s">
        <v>40</v>
      </c>
      <c r="E3" s="6" t="s">
        <v>41</v>
      </c>
      <c r="F3" s="6" t="s">
        <v>42</v>
      </c>
    </row>
    <row r="4" spans="1:6" x14ac:dyDescent="0.25">
      <c r="A4" t="s">
        <v>43</v>
      </c>
      <c r="B4" t="s">
        <v>44</v>
      </c>
      <c r="C4" s="7">
        <v>15000</v>
      </c>
      <c r="D4" s="7">
        <v>75000</v>
      </c>
      <c r="E4" s="7">
        <v>200000</v>
      </c>
      <c r="F4" t="s">
        <v>45</v>
      </c>
    </row>
    <row r="5" spans="1:6" x14ac:dyDescent="0.25">
      <c r="A5" t="s">
        <v>46</v>
      </c>
      <c r="B5" t="s">
        <v>47</v>
      </c>
      <c r="C5" s="7">
        <v>10000</v>
      </c>
      <c r="D5" s="7">
        <v>50000</v>
      </c>
      <c r="E5" s="7">
        <v>150000</v>
      </c>
      <c r="F5" t="s">
        <v>48</v>
      </c>
    </row>
    <row r="6" spans="1:6" x14ac:dyDescent="0.25">
      <c r="A6" t="s">
        <v>49</v>
      </c>
      <c r="B6" t="s">
        <v>50</v>
      </c>
      <c r="C6" s="7">
        <v>5000</v>
      </c>
      <c r="D6" s="7">
        <v>30000</v>
      </c>
      <c r="E6" s="7">
        <v>100000</v>
      </c>
      <c r="F6" t="s">
        <v>51</v>
      </c>
    </row>
    <row r="7" spans="1:6" x14ac:dyDescent="0.25">
      <c r="A7" t="s">
        <v>52</v>
      </c>
      <c r="B7" t="s">
        <v>53</v>
      </c>
      <c r="C7" s="7">
        <v>3000</v>
      </c>
      <c r="D7" s="7">
        <v>20000</v>
      </c>
      <c r="E7" s="7">
        <v>75000</v>
      </c>
      <c r="F7" t="s">
        <v>54</v>
      </c>
    </row>
    <row r="8" spans="1:6" x14ac:dyDescent="0.25">
      <c r="A8" t="s">
        <v>55</v>
      </c>
      <c r="B8" t="s">
        <v>56</v>
      </c>
      <c r="C8" s="7">
        <v>2000</v>
      </c>
      <c r="D8" s="7">
        <v>15000</v>
      </c>
      <c r="E8" s="7">
        <v>50000</v>
      </c>
      <c r="F8" t="s">
        <v>57</v>
      </c>
    </row>
    <row r="10" spans="1:5" s="3" customFormat="1" x14ac:dyDescent="0.25">
      <c r="A10" s="3" t="s">
        <v>58</v>
      </c>
      <c r="C10" s="8">
        <f>SUM(C4:C8)</f>
      </c>
      <c r="D10" s="8">
        <f>SUM(D4:D8)</f>
      </c>
      <c r="E10" s="8">
        <f>SUM(E4:E8)</f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"/>
  <sheetFormatPr defaultRowHeight="15" outlineLevelRow="0" outlineLevelCol="0" x14ac:dyDescent="55"/>
  <cols>
    <col min="1" max="6" width="15" customWidth="1"/>
  </cols>
  <sheetData>
    <row r="1" ht="30" customHeight="1" spans="1:6" x14ac:dyDescent="0.25">
      <c r="A1" s="4" t="s">
        <v>59</v>
      </c>
      <c r="B1" s="4"/>
      <c r="C1" s="4"/>
      <c r="D1" s="4"/>
      <c r="E1" s="4"/>
      <c r="F1" s="4"/>
    </row>
    <row r="3" ht="25" customHeight="1" spans="1:6" s="5" customFormat="1" x14ac:dyDescent="0.25">
      <c r="A3" s="6" t="s">
        <v>60</v>
      </c>
      <c r="B3" s="6" t="s">
        <v>61</v>
      </c>
      <c r="C3" s="6" t="s">
        <v>62</v>
      </c>
      <c r="D3" s="6" t="s">
        <v>63</v>
      </c>
      <c r="E3" s="6" t="s">
        <v>64</v>
      </c>
      <c r="F3" s="6" t="s">
        <v>65</v>
      </c>
    </row>
    <row r="4" spans="1:6" x14ac:dyDescent="0.25">
      <c r="A4">
        <v>1</v>
      </c>
      <c r="B4">
        <v>250</v>
      </c>
      <c r="C4">
        <v>0</v>
      </c>
      <c r="D4">
        <v>250</v>
      </c>
      <c r="E4">
        <v>100</v>
      </c>
      <c r="F4">
        <v>7</v>
      </c>
    </row>
    <row r="5" spans="1:6" x14ac:dyDescent="0.25">
      <c r="A5">
        <v>2</v>
      </c>
      <c r="B5">
        <v>300</v>
      </c>
      <c r="C5">
        <v>12</v>
      </c>
      <c r="D5">
        <v>538</v>
      </c>
      <c r="E5">
        <v>215</v>
      </c>
      <c r="F5">
        <v>16</v>
      </c>
    </row>
    <row r="6" spans="1:6" x14ac:dyDescent="0.25">
      <c r="A6">
        <v>3</v>
      </c>
      <c r="B6">
        <v>350</v>
      </c>
      <c r="C6">
        <v>26</v>
      </c>
      <c r="D6">
        <v>862</v>
      </c>
      <c r="E6">
        <v>344</v>
      </c>
      <c r="F6">
        <v>25</v>
      </c>
    </row>
    <row r="7" spans="1:6" x14ac:dyDescent="0.25">
      <c r="A7">
        <v>4</v>
      </c>
      <c r="B7">
        <v>400</v>
      </c>
      <c r="C7">
        <v>43</v>
      </c>
      <c r="D7">
        <v>1219</v>
      </c>
      <c r="E7">
        <v>487</v>
      </c>
      <c r="F7">
        <v>36</v>
      </c>
    </row>
    <row r="8" spans="1:6" x14ac:dyDescent="0.25">
      <c r="A8">
        <v>5</v>
      </c>
      <c r="B8">
        <v>450</v>
      </c>
      <c r="C8">
        <v>60</v>
      </c>
      <c r="D8">
        <v>1609</v>
      </c>
      <c r="E8">
        <v>643</v>
      </c>
      <c r="F8">
        <v>48</v>
      </c>
    </row>
    <row r="9" spans="1:6" x14ac:dyDescent="0.25">
      <c r="A9">
        <v>6</v>
      </c>
      <c r="B9">
        <v>500</v>
      </c>
      <c r="C9">
        <v>80</v>
      </c>
      <c r="D9">
        <v>2029</v>
      </c>
      <c r="E9">
        <v>811</v>
      </c>
      <c r="F9">
        <v>60</v>
      </c>
    </row>
    <row r="10" spans="1:6" x14ac:dyDescent="0.25">
      <c r="A10">
        <v>7</v>
      </c>
      <c r="B10">
        <v>1200</v>
      </c>
      <c r="C10">
        <v>101</v>
      </c>
      <c r="D10">
        <v>3128</v>
      </c>
      <c r="E10">
        <v>1251</v>
      </c>
      <c r="F10">
        <v>93</v>
      </c>
    </row>
    <row r="11" spans="1:6" x14ac:dyDescent="0.25">
      <c r="A11">
        <v>8</v>
      </c>
      <c r="B11">
        <v>1300</v>
      </c>
      <c r="C11">
        <v>156</v>
      </c>
      <c r="D11">
        <v>4272</v>
      </c>
      <c r="E11">
        <v>1708</v>
      </c>
      <c r="F11">
        <v>128</v>
      </c>
    </row>
    <row r="12" spans="1:6" x14ac:dyDescent="0.25">
      <c r="A12">
        <v>9</v>
      </c>
      <c r="B12">
        <v>1400</v>
      </c>
      <c r="C12">
        <v>213</v>
      </c>
      <c r="D12">
        <v>5459</v>
      </c>
      <c r="E12">
        <v>2183</v>
      </c>
      <c r="F12">
        <v>163</v>
      </c>
    </row>
    <row r="13" spans="1:6" x14ac:dyDescent="0.25">
      <c r="A13">
        <v>10</v>
      </c>
      <c r="B13">
        <v>1500</v>
      </c>
      <c r="C13">
        <v>272</v>
      </c>
      <c r="D13">
        <v>6687</v>
      </c>
      <c r="E13">
        <v>2674</v>
      </c>
      <c r="F13">
        <v>200</v>
      </c>
    </row>
    <row r="14" spans="1:6" x14ac:dyDescent="0.25">
      <c r="A14">
        <v>11</v>
      </c>
      <c r="B14">
        <v>1600</v>
      </c>
      <c r="C14">
        <v>334</v>
      </c>
      <c r="D14">
        <v>7953</v>
      </c>
      <c r="E14">
        <v>3181</v>
      </c>
      <c r="F14">
        <v>238</v>
      </c>
    </row>
    <row r="15" spans="1:6" x14ac:dyDescent="0.25">
      <c r="A15">
        <v>12</v>
      </c>
      <c r="B15">
        <v>1700</v>
      </c>
      <c r="C15">
        <v>397</v>
      </c>
      <c r="D15">
        <v>9256</v>
      </c>
      <c r="E15">
        <v>3702</v>
      </c>
      <c r="F15">
        <v>277</v>
      </c>
    </row>
    <row r="16" spans="1:6" x14ac:dyDescent="0.25">
      <c r="A16">
        <v>13</v>
      </c>
      <c r="B16">
        <v>2950</v>
      </c>
      <c r="C16">
        <v>462</v>
      </c>
      <c r="D16">
        <v>11744</v>
      </c>
      <c r="E16">
        <v>4697</v>
      </c>
      <c r="F16">
        <v>352</v>
      </c>
    </row>
    <row r="17" spans="1:6" x14ac:dyDescent="0.25">
      <c r="A17">
        <v>14</v>
      </c>
      <c r="B17">
        <v>3100</v>
      </c>
      <c r="C17">
        <v>587</v>
      </c>
      <c r="D17">
        <v>14257</v>
      </c>
      <c r="E17">
        <v>5702</v>
      </c>
      <c r="F17">
        <v>427</v>
      </c>
    </row>
    <row r="18" spans="1:6" x14ac:dyDescent="0.25">
      <c r="A18">
        <v>15</v>
      </c>
      <c r="B18">
        <v>3250</v>
      </c>
      <c r="C18">
        <v>712</v>
      </c>
      <c r="D18">
        <v>16795</v>
      </c>
      <c r="E18">
        <v>6718</v>
      </c>
      <c r="F18">
        <v>503</v>
      </c>
    </row>
    <row r="19" spans="1:6" x14ac:dyDescent="0.25">
      <c r="A19">
        <v>16</v>
      </c>
      <c r="B19">
        <v>3400</v>
      </c>
      <c r="C19">
        <v>839</v>
      </c>
      <c r="D19">
        <v>19356</v>
      </c>
      <c r="E19">
        <v>7742</v>
      </c>
      <c r="F19">
        <v>580</v>
      </c>
    </row>
    <row r="20" spans="1:6" x14ac:dyDescent="0.25">
      <c r="A20">
        <v>17</v>
      </c>
      <c r="B20">
        <v>3550</v>
      </c>
      <c r="C20">
        <v>967</v>
      </c>
      <c r="D20">
        <v>21939</v>
      </c>
      <c r="E20">
        <v>8775</v>
      </c>
      <c r="F20">
        <v>658</v>
      </c>
    </row>
    <row r="21" spans="1:6" x14ac:dyDescent="0.25">
      <c r="A21">
        <v>18</v>
      </c>
      <c r="B21">
        <v>3700</v>
      </c>
      <c r="C21">
        <v>1096</v>
      </c>
      <c r="D21">
        <v>24543</v>
      </c>
      <c r="E21">
        <v>9817</v>
      </c>
      <c r="F21">
        <v>736</v>
      </c>
    </row>
    <row r="22" spans="1:6" x14ac:dyDescent="0.25">
      <c r="A22">
        <v>19</v>
      </c>
      <c r="B22">
        <v>3850</v>
      </c>
      <c r="C22">
        <v>1227</v>
      </c>
      <c r="D22">
        <v>27166</v>
      </c>
      <c r="E22">
        <v>10866</v>
      </c>
      <c r="F22">
        <v>814</v>
      </c>
    </row>
    <row r="23" spans="1:6" x14ac:dyDescent="0.25">
      <c r="A23">
        <v>20</v>
      </c>
      <c r="B23">
        <v>4000</v>
      </c>
      <c r="C23">
        <v>1358</v>
      </c>
      <c r="D23">
        <v>29808</v>
      </c>
      <c r="E23">
        <v>11923</v>
      </c>
      <c r="F23">
        <v>894</v>
      </c>
    </row>
    <row r="24" spans="1:6" x14ac:dyDescent="0.25">
      <c r="A24">
        <v>21</v>
      </c>
      <c r="B24">
        <v>4150</v>
      </c>
      <c r="C24">
        <v>1490</v>
      </c>
      <c r="D24">
        <v>32468</v>
      </c>
      <c r="E24">
        <v>12987</v>
      </c>
      <c r="F24">
        <v>974</v>
      </c>
    </row>
    <row r="25" spans="1:6" x14ac:dyDescent="0.25">
      <c r="A25">
        <v>22</v>
      </c>
      <c r="B25">
        <v>4300</v>
      </c>
      <c r="C25">
        <v>1623</v>
      </c>
      <c r="D25">
        <v>35145</v>
      </c>
      <c r="E25">
        <v>14058</v>
      </c>
      <c r="F25">
        <v>1054</v>
      </c>
    </row>
    <row r="26" spans="1:6" x14ac:dyDescent="0.25">
      <c r="A26">
        <v>23</v>
      </c>
      <c r="B26">
        <v>4450</v>
      </c>
      <c r="C26">
        <v>1757</v>
      </c>
      <c r="D26">
        <v>37838</v>
      </c>
      <c r="E26">
        <v>15135</v>
      </c>
      <c r="F26">
        <v>1135</v>
      </c>
    </row>
    <row r="27" spans="1:6" x14ac:dyDescent="0.25">
      <c r="A27">
        <v>24</v>
      </c>
      <c r="B27">
        <v>4600</v>
      </c>
      <c r="C27">
        <v>1891</v>
      </c>
      <c r="D27">
        <v>40547</v>
      </c>
      <c r="E27">
        <v>16218</v>
      </c>
      <c r="F27">
        <v>1216</v>
      </c>
    </row>
    <row r="28" spans="1:6" x14ac:dyDescent="0.25">
      <c r="A28">
        <v>25</v>
      </c>
      <c r="B28">
        <v>7000</v>
      </c>
      <c r="C28">
        <v>2027</v>
      </c>
      <c r="D28">
        <v>45520</v>
      </c>
      <c r="E28">
        <v>18208</v>
      </c>
      <c r="F28">
        <v>1365</v>
      </c>
    </row>
    <row r="29" spans="1:6" x14ac:dyDescent="0.25">
      <c r="A29">
        <v>26</v>
      </c>
      <c r="B29">
        <v>7200</v>
      </c>
      <c r="C29">
        <v>2276</v>
      </c>
      <c r="D29">
        <v>50444</v>
      </c>
      <c r="E29">
        <v>20177</v>
      </c>
      <c r="F29">
        <v>1513</v>
      </c>
    </row>
    <row r="30" spans="1:6" x14ac:dyDescent="0.25">
      <c r="A30">
        <v>27</v>
      </c>
      <c r="B30">
        <v>7400</v>
      </c>
      <c r="C30">
        <v>2522</v>
      </c>
      <c r="D30">
        <v>55322</v>
      </c>
      <c r="E30">
        <v>22128</v>
      </c>
      <c r="F30">
        <v>1659</v>
      </c>
    </row>
    <row r="31" spans="1:6" x14ac:dyDescent="0.25">
      <c r="A31">
        <v>28</v>
      </c>
      <c r="B31">
        <v>7600</v>
      </c>
      <c r="C31">
        <v>2766</v>
      </c>
      <c r="D31">
        <v>60156</v>
      </c>
      <c r="E31">
        <v>24062</v>
      </c>
      <c r="F31">
        <v>1804</v>
      </c>
    </row>
    <row r="32" spans="1:6" x14ac:dyDescent="0.25">
      <c r="A32">
        <v>29</v>
      </c>
      <c r="B32">
        <v>7800</v>
      </c>
      <c r="C32">
        <v>3007</v>
      </c>
      <c r="D32">
        <v>64949</v>
      </c>
      <c r="E32">
        <v>25979</v>
      </c>
      <c r="F32">
        <v>1948</v>
      </c>
    </row>
    <row r="33" spans="1:6" x14ac:dyDescent="0.25">
      <c r="A33">
        <v>30</v>
      </c>
      <c r="B33">
        <v>8000</v>
      </c>
      <c r="C33">
        <v>3247</v>
      </c>
      <c r="D33">
        <v>69702</v>
      </c>
      <c r="E33">
        <v>27880</v>
      </c>
      <c r="F33">
        <v>2091</v>
      </c>
    </row>
    <row r="34" spans="1:6" x14ac:dyDescent="0.25">
      <c r="A34">
        <v>31</v>
      </c>
      <c r="B34">
        <v>8200</v>
      </c>
      <c r="C34">
        <v>3485</v>
      </c>
      <c r="D34">
        <v>74417</v>
      </c>
      <c r="E34">
        <v>29766</v>
      </c>
      <c r="F34">
        <v>2232</v>
      </c>
    </row>
    <row r="35" spans="1:6" x14ac:dyDescent="0.25">
      <c r="A35">
        <v>32</v>
      </c>
      <c r="B35">
        <v>8400</v>
      </c>
      <c r="C35">
        <v>3720</v>
      </c>
      <c r="D35">
        <v>79097</v>
      </c>
      <c r="E35">
        <v>31638</v>
      </c>
      <c r="F35">
        <v>2372</v>
      </c>
    </row>
    <row r="36" spans="1:6" x14ac:dyDescent="0.25">
      <c r="A36">
        <v>33</v>
      </c>
      <c r="B36">
        <v>8600</v>
      </c>
      <c r="C36">
        <v>3954</v>
      </c>
      <c r="D36">
        <v>83743</v>
      </c>
      <c r="E36">
        <v>33497</v>
      </c>
      <c r="F36">
        <v>2512</v>
      </c>
    </row>
    <row r="37" spans="1:6" x14ac:dyDescent="0.25">
      <c r="A37">
        <v>34</v>
      </c>
      <c r="B37">
        <v>8800</v>
      </c>
      <c r="C37">
        <v>4187</v>
      </c>
      <c r="D37">
        <v>88356</v>
      </c>
      <c r="E37">
        <v>35342</v>
      </c>
      <c r="F37">
        <v>2650</v>
      </c>
    </row>
    <row r="38" spans="1:6" x14ac:dyDescent="0.25">
      <c r="A38">
        <v>35</v>
      </c>
      <c r="B38">
        <v>9000</v>
      </c>
      <c r="C38">
        <v>4417</v>
      </c>
      <c r="D38">
        <v>92939</v>
      </c>
      <c r="E38">
        <v>37175</v>
      </c>
      <c r="F38">
        <v>2788</v>
      </c>
    </row>
    <row r="39" spans="1:6" x14ac:dyDescent="0.25">
      <c r="A39">
        <v>36</v>
      </c>
      <c r="B39">
        <v>9200</v>
      </c>
      <c r="C39">
        <v>4646</v>
      </c>
      <c r="D39">
        <v>97493</v>
      </c>
      <c r="E39">
        <v>38997</v>
      </c>
      <c r="F39">
        <v>2924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0" customWidth="1"/>
    <col min="2" max="4" width="18" customWidth="1"/>
  </cols>
  <sheetData>
    <row r="1" ht="30" customHeight="1" spans="1:4" x14ac:dyDescent="0.25">
      <c r="A1" s="4" t="s">
        <v>66</v>
      </c>
      <c r="B1" s="4"/>
      <c r="C1" s="4"/>
      <c r="D1" s="4"/>
    </row>
    <row r="3" ht="25" customHeight="1" spans="1:4" s="5" customFormat="1" x14ac:dyDescent="0.25">
      <c r="A3" s="6" t="s">
        <v>67</v>
      </c>
      <c r="B3" s="6" t="s">
        <v>39</v>
      </c>
      <c r="C3" s="6" t="s">
        <v>40</v>
      </c>
      <c r="D3" s="6" t="s">
        <v>41</v>
      </c>
    </row>
    <row r="4" spans="1:1" x14ac:dyDescent="0.25">
      <c r="A4" s="9" t="s">
        <v>68</v>
      </c>
    </row>
    <row r="5" spans="1:4" x14ac:dyDescent="0.25">
      <c r="A5" t="s">
        <v>43</v>
      </c>
      <c r="B5" s="7">
        <v>15000</v>
      </c>
      <c r="C5" s="7">
        <v>75000</v>
      </c>
      <c r="D5" s="7">
        <v>200000</v>
      </c>
    </row>
    <row r="6" spans="1:4" x14ac:dyDescent="0.25">
      <c r="A6" t="s">
        <v>46</v>
      </c>
      <c r="B6" s="7">
        <v>10000</v>
      </c>
      <c r="C6" s="7">
        <v>50000</v>
      </c>
      <c r="D6" s="7">
        <v>150000</v>
      </c>
    </row>
    <row r="7" spans="1:4" x14ac:dyDescent="0.25">
      <c r="A7" t="s">
        <v>69</v>
      </c>
      <c r="B7" s="7">
        <v>5000</v>
      </c>
      <c r="C7" s="7">
        <v>30000</v>
      </c>
      <c r="D7" s="7">
        <v>100000</v>
      </c>
    </row>
    <row r="8" spans="1:4" x14ac:dyDescent="0.25">
      <c r="A8" t="s">
        <v>52</v>
      </c>
      <c r="B8" s="7">
        <v>3000</v>
      </c>
      <c r="C8" s="7">
        <v>20000</v>
      </c>
      <c r="D8" s="7">
        <v>75000</v>
      </c>
    </row>
    <row r="9" spans="1:4" x14ac:dyDescent="0.25">
      <c r="A9" t="s">
        <v>55</v>
      </c>
      <c r="B9" s="7">
        <v>2000</v>
      </c>
      <c r="C9" s="7">
        <v>15000</v>
      </c>
      <c r="D9" s="7">
        <v>50000</v>
      </c>
    </row>
    <row r="10" spans="1:4" s="10" customFormat="1" x14ac:dyDescent="0.25">
      <c r="A10" s="10" t="s">
        <v>70</v>
      </c>
      <c r="B10" s="11">
        <v>35000</v>
      </c>
      <c r="C10" s="11">
        <v>190000</v>
      </c>
      <c r="D10" s="11">
        <v>575000</v>
      </c>
    </row>
    <row r="11" spans="1:1" x14ac:dyDescent="0.25">
      <c r="A11" t="s">
        <v>67</v>
      </c>
    </row>
    <row r="12" spans="1:1" x14ac:dyDescent="0.25">
      <c r="A12" s="9" t="s">
        <v>71</v>
      </c>
    </row>
    <row r="13" spans="1:4" x14ac:dyDescent="0.25">
      <c r="A13" t="s">
        <v>72</v>
      </c>
      <c r="B13" s="7">
        <v>100000</v>
      </c>
      <c r="C13" s="7">
        <v>120000</v>
      </c>
      <c r="D13" s="7">
        <v>150000</v>
      </c>
    </row>
    <row r="14" spans="1:4" x14ac:dyDescent="0.25">
      <c r="A14" t="s">
        <v>73</v>
      </c>
      <c r="B14" s="7">
        <v>50000</v>
      </c>
      <c r="C14" s="7">
        <v>80000</v>
      </c>
      <c r="D14" s="7">
        <v>120000</v>
      </c>
    </row>
    <row r="15" spans="1:4" x14ac:dyDescent="0.25">
      <c r="A15" t="s">
        <v>74</v>
      </c>
      <c r="B15" s="7">
        <v>12000</v>
      </c>
      <c r="C15" s="7">
        <v>24000</v>
      </c>
      <c r="D15" s="7">
        <v>48000</v>
      </c>
    </row>
    <row r="16" spans="1:4" x14ac:dyDescent="0.25">
      <c r="A16" t="s">
        <v>75</v>
      </c>
      <c r="B16" s="7">
        <v>20000</v>
      </c>
      <c r="C16" s="7">
        <v>30000</v>
      </c>
      <c r="D16" s="7">
        <v>50000</v>
      </c>
    </row>
    <row r="17" spans="1:4" x14ac:dyDescent="0.25">
      <c r="A17" t="s">
        <v>76</v>
      </c>
      <c r="B17" s="7">
        <v>15000</v>
      </c>
      <c r="C17" s="7">
        <v>20000</v>
      </c>
      <c r="D17" s="7">
        <v>25000</v>
      </c>
    </row>
    <row r="18" spans="1:4" s="10" customFormat="1" x14ac:dyDescent="0.25">
      <c r="A18" s="10" t="s">
        <v>77</v>
      </c>
      <c r="B18" s="11">
        <v>197000</v>
      </c>
      <c r="C18" s="11">
        <v>274000</v>
      </c>
      <c r="D18" s="11">
        <v>393000</v>
      </c>
    </row>
    <row r="19" spans="1:1" x14ac:dyDescent="0.25">
      <c r="A19" t="s">
        <v>67</v>
      </c>
    </row>
    <row r="20" spans="1:4" s="10" customFormat="1" x14ac:dyDescent="0.25">
      <c r="A20" s="10" t="s">
        <v>78</v>
      </c>
      <c r="B20" s="11">
        <v>-162000</v>
      </c>
      <c r="C20" s="11">
        <v>-84000</v>
      </c>
      <c r="D20" s="11">
        <v>182000</v>
      </c>
    </row>
    <row r="21" spans="1:1" x14ac:dyDescent="0.25">
      <c r="A21" t="s">
        <v>67</v>
      </c>
    </row>
    <row r="22" spans="1:4" x14ac:dyDescent="0.25">
      <c r="A22" t="s">
        <v>79</v>
      </c>
      <c r="B22" s="7">
        <v>-162000</v>
      </c>
      <c r="C22" s="7">
        <v>-246000</v>
      </c>
      <c r="D22" s="7">
        <v>-64000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"/>
  <sheetFormatPr defaultRowHeight="15" outlineLevelRow="0" outlineLevelCol="0" x14ac:dyDescent="55"/>
  <cols>
    <col min="1" max="1" width="30" customWidth="1"/>
    <col min="2" max="4" width="15" customWidth="1"/>
    <col min="5" max="5" width="35" customWidth="1"/>
  </cols>
  <sheetData>
    <row r="1" ht="30" customHeight="1" spans="1:5" x14ac:dyDescent="0.25">
      <c r="A1" s="4" t="s">
        <v>80</v>
      </c>
      <c r="B1" s="4"/>
      <c r="C1" s="4"/>
      <c r="D1" s="4"/>
      <c r="E1" s="4"/>
    </row>
    <row r="3" ht="25" customHeight="1" spans="1:5" s="5" customFormat="1" x14ac:dyDescent="0.25">
      <c r="A3" s="6" t="s">
        <v>81</v>
      </c>
      <c r="B3" s="6" t="s">
        <v>39</v>
      </c>
      <c r="C3" s="6" t="s">
        <v>40</v>
      </c>
      <c r="D3" s="6" t="s">
        <v>41</v>
      </c>
      <c r="E3" s="6" t="s">
        <v>82</v>
      </c>
    </row>
    <row r="4" spans="1:5" x14ac:dyDescent="0.25">
      <c r="A4" s="9" t="s">
        <v>83</v>
      </c>
      <c r="E4" t="s">
        <v>67</v>
      </c>
    </row>
    <row r="5" spans="1:5" x14ac:dyDescent="0.25">
      <c r="A5" t="s">
        <v>84</v>
      </c>
      <c r="B5" s="7">
        <v>60000</v>
      </c>
      <c r="C5" s="7">
        <v>72000</v>
      </c>
      <c r="D5" s="7">
        <v>90000</v>
      </c>
      <c r="E5" t="s">
        <v>85</v>
      </c>
    </row>
    <row r="6" spans="1:5" x14ac:dyDescent="0.25">
      <c r="A6" t="s">
        <v>86</v>
      </c>
      <c r="B6" s="7">
        <v>15000</v>
      </c>
      <c r="C6" s="7">
        <v>18000</v>
      </c>
      <c r="D6" s="7">
        <v>20000</v>
      </c>
      <c r="E6" t="s">
        <v>87</v>
      </c>
    </row>
    <row r="7" spans="1:5" x14ac:dyDescent="0.25">
      <c r="A7" t="s">
        <v>88</v>
      </c>
      <c r="B7" s="7">
        <v>10000</v>
      </c>
      <c r="C7" s="7">
        <v>12000</v>
      </c>
      <c r="D7" s="7">
        <v>15000</v>
      </c>
      <c r="E7" t="s">
        <v>89</v>
      </c>
    </row>
    <row r="8" spans="1:5" x14ac:dyDescent="0.25">
      <c r="A8" t="s">
        <v>90</v>
      </c>
      <c r="B8" s="7">
        <v>15000</v>
      </c>
      <c r="C8" s="7">
        <v>18000</v>
      </c>
      <c r="D8" s="7">
        <v>25000</v>
      </c>
      <c r="E8" t="s">
        <v>91</v>
      </c>
    </row>
    <row r="9" spans="1:5" x14ac:dyDescent="0.25">
      <c r="A9" t="s">
        <v>67</v>
      </c>
      <c r="E9" t="s">
        <v>67</v>
      </c>
    </row>
    <row r="10" spans="1:5" x14ac:dyDescent="0.25">
      <c r="A10" s="9" t="s">
        <v>92</v>
      </c>
      <c r="E10" t="s">
        <v>67</v>
      </c>
    </row>
    <row r="11" spans="1:5" x14ac:dyDescent="0.25">
      <c r="A11" t="s">
        <v>93</v>
      </c>
      <c r="B11" s="7">
        <v>20000</v>
      </c>
      <c r="C11" s="7">
        <v>35000</v>
      </c>
      <c r="D11" s="7">
        <v>50000</v>
      </c>
      <c r="E11" t="s">
        <v>94</v>
      </c>
    </row>
    <row r="12" spans="1:5" x14ac:dyDescent="0.25">
      <c r="A12" t="s">
        <v>95</v>
      </c>
      <c r="B12" s="7">
        <v>10000</v>
      </c>
      <c r="C12" s="7">
        <v>15000</v>
      </c>
      <c r="D12" s="7">
        <v>25000</v>
      </c>
      <c r="E12" t="s">
        <v>96</v>
      </c>
    </row>
    <row r="13" spans="1:5" x14ac:dyDescent="0.25">
      <c r="A13" t="s">
        <v>97</v>
      </c>
      <c r="B13" s="7">
        <v>10000</v>
      </c>
      <c r="C13" s="7">
        <v>15000</v>
      </c>
      <c r="D13" s="7">
        <v>25000</v>
      </c>
      <c r="E13" t="s">
        <v>98</v>
      </c>
    </row>
    <row r="14" spans="1:5" x14ac:dyDescent="0.25">
      <c r="A14" t="s">
        <v>99</v>
      </c>
      <c r="B14" s="7">
        <v>10000</v>
      </c>
      <c r="C14" s="7">
        <v>15000</v>
      </c>
      <c r="D14" s="7">
        <v>20000</v>
      </c>
      <c r="E14" t="s">
        <v>100</v>
      </c>
    </row>
    <row r="15" spans="1:5" x14ac:dyDescent="0.25">
      <c r="A15" t="s">
        <v>67</v>
      </c>
      <c r="E15" t="s">
        <v>67</v>
      </c>
    </row>
    <row r="16" spans="1:5" x14ac:dyDescent="0.25">
      <c r="A16" s="9" t="s">
        <v>101</v>
      </c>
      <c r="E16" t="s">
        <v>67</v>
      </c>
    </row>
    <row r="17" spans="1:5" x14ac:dyDescent="0.25">
      <c r="A17" t="s">
        <v>102</v>
      </c>
      <c r="B17" s="7">
        <v>3000</v>
      </c>
      <c r="C17" s="7">
        <v>6000</v>
      </c>
      <c r="D17" s="7">
        <v>12000</v>
      </c>
      <c r="E17" t="s">
        <v>103</v>
      </c>
    </row>
    <row r="18" spans="1:5" x14ac:dyDescent="0.25">
      <c r="A18" t="s">
        <v>104</v>
      </c>
      <c r="B18" s="7">
        <v>3000</v>
      </c>
      <c r="C18" s="7">
        <v>6000</v>
      </c>
      <c r="D18" s="7">
        <v>12000</v>
      </c>
      <c r="E18" t="s">
        <v>105</v>
      </c>
    </row>
    <row r="19" spans="1:5" x14ac:dyDescent="0.25">
      <c r="A19" t="s">
        <v>106</v>
      </c>
      <c r="B19" s="7">
        <v>2400</v>
      </c>
      <c r="C19" s="7">
        <v>4800</v>
      </c>
      <c r="D19" s="7">
        <v>9600</v>
      </c>
      <c r="E19" t="s">
        <v>107</v>
      </c>
    </row>
    <row r="20" spans="1:5" x14ac:dyDescent="0.25">
      <c r="A20" t="s">
        <v>108</v>
      </c>
      <c r="B20" s="7">
        <v>3600</v>
      </c>
      <c r="C20" s="7">
        <v>7200</v>
      </c>
      <c r="D20" s="7">
        <v>14400</v>
      </c>
      <c r="E20" t="s">
        <v>109</v>
      </c>
    </row>
    <row r="21" spans="1:5" x14ac:dyDescent="0.25">
      <c r="A21" t="s">
        <v>67</v>
      </c>
      <c r="E21" t="s">
        <v>67</v>
      </c>
    </row>
    <row r="22" spans="1:5" x14ac:dyDescent="0.25">
      <c r="A22" s="9" t="s">
        <v>110</v>
      </c>
      <c r="E22" t="s">
        <v>67</v>
      </c>
    </row>
    <row r="23" spans="1:5" x14ac:dyDescent="0.25">
      <c r="A23" t="s">
        <v>111</v>
      </c>
      <c r="B23" s="7">
        <v>15000</v>
      </c>
      <c r="C23" s="7">
        <v>20000</v>
      </c>
      <c r="D23" s="7">
        <v>35000</v>
      </c>
      <c r="E23" t="s">
        <v>112</v>
      </c>
    </row>
    <row r="24" spans="1:5" x14ac:dyDescent="0.25">
      <c r="A24" t="s">
        <v>113</v>
      </c>
      <c r="B24" s="7">
        <v>5000</v>
      </c>
      <c r="C24" s="7">
        <v>10000</v>
      </c>
      <c r="D24" s="7">
        <v>15000</v>
      </c>
      <c r="E24" t="s">
        <v>114</v>
      </c>
    </row>
    <row r="25" spans="1:5" x14ac:dyDescent="0.25">
      <c r="A25" t="s">
        <v>67</v>
      </c>
      <c r="E25" t="s">
        <v>67</v>
      </c>
    </row>
    <row r="26" spans="1:5" x14ac:dyDescent="0.25">
      <c r="A26" s="9" t="s">
        <v>115</v>
      </c>
      <c r="E26" t="s">
        <v>67</v>
      </c>
    </row>
    <row r="27" spans="1:5" x14ac:dyDescent="0.25">
      <c r="A27" t="s">
        <v>116</v>
      </c>
      <c r="B27" s="7">
        <v>10000</v>
      </c>
      <c r="C27" s="7">
        <v>12000</v>
      </c>
      <c r="D27" s="7">
        <v>15000</v>
      </c>
      <c r="E27" t="s">
        <v>117</v>
      </c>
    </row>
    <row r="28" spans="1:5" x14ac:dyDescent="0.25">
      <c r="A28" t="s">
        <v>118</v>
      </c>
      <c r="B28" s="7">
        <v>3000</v>
      </c>
      <c r="C28" s="7">
        <v>5000</v>
      </c>
      <c r="D28" s="7">
        <v>7000</v>
      </c>
      <c r="E28" t="s">
        <v>119</v>
      </c>
    </row>
    <row r="29" spans="1:5" x14ac:dyDescent="0.25">
      <c r="A29" t="s">
        <v>120</v>
      </c>
      <c r="B29" s="7">
        <v>2000</v>
      </c>
      <c r="C29" s="7">
        <v>3000</v>
      </c>
      <c r="D29" s="7">
        <v>3000</v>
      </c>
      <c r="E29" t="s">
        <v>121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FormatPr defaultRowHeight="15" outlineLevelRow="0" outlineLevelCol="0" x14ac:dyDescent="55"/>
  <cols>
    <col min="1" max="1" width="30" customWidth="1"/>
    <col min="2" max="4" width="18" customWidth="1"/>
    <col min="5" max="5" width="35" customWidth="1"/>
  </cols>
  <sheetData>
    <row r="1" ht="30" customHeight="1" spans="1:5" x14ac:dyDescent="0.25">
      <c r="A1" s="4" t="s">
        <v>122</v>
      </c>
      <c r="B1" s="4"/>
      <c r="C1" s="4"/>
      <c r="D1" s="4"/>
      <c r="E1" s="4"/>
    </row>
    <row r="3" ht="25" customHeight="1" spans="1:5" s="5" customFormat="1" x14ac:dyDescent="0.25">
      <c r="A3" s="6" t="s">
        <v>123</v>
      </c>
      <c r="B3" s="6" t="s">
        <v>39</v>
      </c>
      <c r="C3" s="6" t="s">
        <v>40</v>
      </c>
      <c r="D3" s="6" t="s">
        <v>41</v>
      </c>
      <c r="E3" s="6" t="s">
        <v>82</v>
      </c>
    </row>
    <row r="4" spans="1:5" x14ac:dyDescent="0.25">
      <c r="A4" s="9" t="s">
        <v>124</v>
      </c>
      <c r="E4" t="s">
        <v>67</v>
      </c>
    </row>
    <row r="5" spans="1:5" x14ac:dyDescent="0.25">
      <c r="A5" t="s">
        <v>125</v>
      </c>
      <c r="B5">
        <v>3.5</v>
      </c>
      <c r="C5">
        <v>2.8</v>
      </c>
      <c r="D5">
        <v>2.2</v>
      </c>
      <c r="E5" t="s">
        <v>126</v>
      </c>
    </row>
    <row r="6" spans="1:5" x14ac:dyDescent="0.25">
      <c r="A6" t="s">
        <v>127</v>
      </c>
      <c r="B6">
        <v>8</v>
      </c>
      <c r="C6">
        <v>6</v>
      </c>
      <c r="D6">
        <v>4.5</v>
      </c>
      <c r="E6" t="s">
        <v>128</v>
      </c>
    </row>
    <row r="7" spans="1:5" x14ac:dyDescent="0.25">
      <c r="A7" t="s">
        <v>129</v>
      </c>
      <c r="B7">
        <v>1.5</v>
      </c>
      <c r="C7">
        <v>1.2</v>
      </c>
      <c r="D7">
        <v>1</v>
      </c>
      <c r="E7" t="s">
        <v>130</v>
      </c>
    </row>
    <row r="8" spans="1:5" x14ac:dyDescent="0.25">
      <c r="A8" t="s">
        <v>67</v>
      </c>
      <c r="E8" t="s">
        <v>67</v>
      </c>
    </row>
    <row r="9" spans="1:5" x14ac:dyDescent="0.25">
      <c r="A9" s="9" t="s">
        <v>131</v>
      </c>
      <c r="E9" t="s">
        <v>67</v>
      </c>
    </row>
    <row r="10" spans="1:5" x14ac:dyDescent="0.25">
      <c r="A10" t="s">
        <v>132</v>
      </c>
      <c r="B10" t="s">
        <v>133</v>
      </c>
      <c r="C10" t="s">
        <v>134</v>
      </c>
      <c r="D10" t="s">
        <v>135</v>
      </c>
      <c r="E10" t="s">
        <v>136</v>
      </c>
    </row>
    <row r="11" spans="1:5" x14ac:dyDescent="0.25">
      <c r="A11" t="s">
        <v>137</v>
      </c>
      <c r="B11" t="s">
        <v>138</v>
      </c>
      <c r="C11" t="s">
        <v>139</v>
      </c>
      <c r="D11" t="s">
        <v>140</v>
      </c>
      <c r="E11" t="s">
        <v>141</v>
      </c>
    </row>
    <row r="12" spans="1:5" x14ac:dyDescent="0.25">
      <c r="A12" t="s">
        <v>67</v>
      </c>
      <c r="E12" t="s">
        <v>67</v>
      </c>
    </row>
    <row r="13" spans="1:5" x14ac:dyDescent="0.25">
      <c r="A13" s="9" t="s">
        <v>142</v>
      </c>
      <c r="E13" t="s">
        <v>67</v>
      </c>
    </row>
    <row r="14" spans="1:5" x14ac:dyDescent="0.25">
      <c r="A14" t="s">
        <v>143</v>
      </c>
      <c r="B14">
        <v>0.5</v>
      </c>
      <c r="C14">
        <v>1.2</v>
      </c>
      <c r="D14">
        <v>2</v>
      </c>
      <c r="E14" t="s">
        <v>144</v>
      </c>
    </row>
    <row r="15" spans="1:5" x14ac:dyDescent="0.25">
      <c r="A15" t="s">
        <v>145</v>
      </c>
      <c r="B15" t="s">
        <v>146</v>
      </c>
      <c r="C15" t="s">
        <v>147</v>
      </c>
      <c r="D15" t="s">
        <v>148</v>
      </c>
      <c r="E15" t="s">
        <v>149</v>
      </c>
    </row>
    <row r="16" spans="1:5" x14ac:dyDescent="0.25">
      <c r="A16" t="s">
        <v>150</v>
      </c>
      <c r="B16">
        <v>6</v>
      </c>
      <c r="C16">
        <v>7</v>
      </c>
      <c r="D16">
        <v>7.5</v>
      </c>
      <c r="E16" t="s">
        <v>151</v>
      </c>
    </row>
    <row r="17" spans="1:5" x14ac:dyDescent="0.25">
      <c r="A17" t="s">
        <v>67</v>
      </c>
      <c r="E17" t="s">
        <v>67</v>
      </c>
    </row>
    <row r="18" spans="1:5" x14ac:dyDescent="0.25">
      <c r="A18" s="9" t="s">
        <v>152</v>
      </c>
      <c r="E18" t="s">
        <v>67</v>
      </c>
    </row>
    <row r="19" spans="1:5" x14ac:dyDescent="0.25">
      <c r="A19" t="s">
        <v>153</v>
      </c>
      <c r="B19">
        <v>6</v>
      </c>
      <c r="C19">
        <v>18</v>
      </c>
      <c r="D19">
        <v>36</v>
      </c>
      <c r="E19" t="s">
        <v>154</v>
      </c>
    </row>
    <row r="20" spans="1:5" x14ac:dyDescent="0.25">
      <c r="A20" t="s">
        <v>155</v>
      </c>
      <c r="B20">
        <v>72</v>
      </c>
      <c r="C20">
        <v>112</v>
      </c>
      <c r="D20">
        <v>135</v>
      </c>
      <c r="E20" t="s">
        <v>156</v>
      </c>
    </row>
    <row r="21" spans="1:5" x14ac:dyDescent="0.25">
      <c r="A21" t="s">
        <v>157</v>
      </c>
      <c r="B21">
        <v>1.7</v>
      </c>
      <c r="C21">
        <v>6.4</v>
      </c>
      <c r="D21">
        <v>16.4</v>
      </c>
      <c r="E21" t="s">
        <v>158</v>
      </c>
    </row>
    <row r="22" spans="1:5" x14ac:dyDescent="0.25">
      <c r="A22" t="s">
        <v>67</v>
      </c>
      <c r="E22" t="s">
        <v>67</v>
      </c>
    </row>
    <row r="23" spans="1:5" x14ac:dyDescent="0.25">
      <c r="A23" s="9" t="s">
        <v>159</v>
      </c>
      <c r="E23" t="s">
        <v>67</v>
      </c>
    </row>
    <row r="24" spans="1:5" x14ac:dyDescent="0.25">
      <c r="A24" t="s">
        <v>160</v>
      </c>
      <c r="B24">
        <v>56000</v>
      </c>
      <c r="C24">
        <v>23000</v>
      </c>
      <c r="D24">
        <v>8500</v>
      </c>
      <c r="E24" t="s">
        <v>161</v>
      </c>
    </row>
    <row r="25" spans="1:5" x14ac:dyDescent="0.25">
      <c r="A25" t="s">
        <v>162</v>
      </c>
      <c r="B25">
        <v>7</v>
      </c>
      <c r="C25">
        <v>2.3</v>
      </c>
      <c r="D25">
        <v>1.1</v>
      </c>
      <c r="E25" t="s">
        <v>163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FormatPr defaultRowHeight="15" outlineLevelRow="0" outlineLevelCol="0" x14ac:dyDescent="55"/>
  <cols>
    <col min="1" max="1" width="30" customWidth="1"/>
    <col min="2" max="2" width="15" customWidth="1"/>
    <col min="3" max="4" width="18" customWidth="1"/>
    <col min="5" max="5" width="35" customWidth="1"/>
  </cols>
  <sheetData>
    <row r="1" ht="30" customHeight="1" spans="1:5" x14ac:dyDescent="0.25">
      <c r="A1" s="4" t="s">
        <v>164</v>
      </c>
      <c r="B1" s="4"/>
      <c r="C1" s="4"/>
      <c r="D1" s="4"/>
      <c r="E1" s="4"/>
    </row>
    <row r="3" ht="25" customHeight="1" spans="1:5" s="5" customFormat="1" x14ac:dyDescent="0.25">
      <c r="A3" s="6" t="s">
        <v>165</v>
      </c>
      <c r="B3" s="6" t="s">
        <v>166</v>
      </c>
      <c r="C3" s="6" t="s">
        <v>167</v>
      </c>
      <c r="D3" s="6" t="s">
        <v>168</v>
      </c>
      <c r="E3" s="6" t="s">
        <v>169</v>
      </c>
    </row>
    <row r="4" spans="1:5" x14ac:dyDescent="0.25">
      <c r="A4" t="s">
        <v>72</v>
      </c>
      <c r="B4" t="s">
        <v>170</v>
      </c>
      <c r="C4" s="7">
        <v>100000</v>
      </c>
      <c r="D4" s="7">
        <v>200000</v>
      </c>
      <c r="E4" t="s">
        <v>171</v>
      </c>
    </row>
    <row r="5" spans="1:5" x14ac:dyDescent="0.25">
      <c r="A5" t="s">
        <v>172</v>
      </c>
      <c r="B5" t="s">
        <v>173</v>
      </c>
      <c r="C5" s="7">
        <v>75000</v>
      </c>
      <c r="D5" s="7">
        <v>150000</v>
      </c>
      <c r="E5" t="s">
        <v>174</v>
      </c>
    </row>
    <row r="6" spans="1:5" x14ac:dyDescent="0.25">
      <c r="A6" t="s">
        <v>175</v>
      </c>
      <c r="B6" t="s">
        <v>176</v>
      </c>
      <c r="C6" s="7">
        <v>37500</v>
      </c>
      <c r="D6" s="7">
        <v>75000</v>
      </c>
      <c r="E6" t="s">
        <v>177</v>
      </c>
    </row>
    <row r="7" spans="1:5" x14ac:dyDescent="0.25">
      <c r="A7" t="s">
        <v>76</v>
      </c>
      <c r="B7" t="s">
        <v>178</v>
      </c>
      <c r="C7" s="7">
        <v>25000</v>
      </c>
      <c r="D7" s="7">
        <v>50000</v>
      </c>
      <c r="E7" t="s">
        <v>179</v>
      </c>
    </row>
    <row r="8" spans="1:5" x14ac:dyDescent="0.25">
      <c r="A8" t="s">
        <v>180</v>
      </c>
      <c r="B8" t="s">
        <v>135</v>
      </c>
      <c r="C8" s="7">
        <v>12500</v>
      </c>
      <c r="D8" s="7">
        <v>25000</v>
      </c>
      <c r="E8" t="s">
        <v>181</v>
      </c>
    </row>
    <row r="10" spans="1:4" s="3" customFormat="1" x14ac:dyDescent="0.25">
      <c r="A10" s="3" t="s">
        <v>182</v>
      </c>
      <c r="B10" s="3" t="s">
        <v>183</v>
      </c>
      <c r="C10" s="8">
        <v>250000</v>
      </c>
      <c r="D10" s="8">
        <v>500000</v>
      </c>
    </row>
    <row r="12" spans="1:1" x14ac:dyDescent="0.25">
      <c r="A12" s="2" t="s">
        <v>184</v>
      </c>
    </row>
    <row r="13" spans="1:2" x14ac:dyDescent="0.25">
      <c r="A13" t="s">
        <v>185</v>
      </c>
      <c r="B13" t="s">
        <v>186</v>
      </c>
    </row>
    <row r="14" spans="1:2" x14ac:dyDescent="0.25">
      <c r="A14" t="s">
        <v>187</v>
      </c>
      <c r="B14" t="s">
        <v>188</v>
      </c>
    </row>
    <row r="15" spans="1:2" x14ac:dyDescent="0.25">
      <c r="A15" t="s">
        <v>189</v>
      </c>
      <c r="B15" t="s">
        <v>190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15" customWidth="1"/>
    <col min="2" max="2" width="35" customWidth="1"/>
    <col min="3" max="3" width="20" customWidth="1"/>
    <col min="4" max="4" width="35" customWidth="1"/>
  </cols>
  <sheetData>
    <row r="1" ht="30" customHeight="1" spans="1:4" x14ac:dyDescent="0.25">
      <c r="A1" s="4" t="s">
        <v>191</v>
      </c>
      <c r="B1" s="4"/>
      <c r="C1" s="4"/>
      <c r="D1" s="4"/>
    </row>
    <row r="3" ht="25" customHeight="1" spans="1:4" s="5" customFormat="1" x14ac:dyDescent="0.25">
      <c r="A3" s="6" t="s">
        <v>192</v>
      </c>
      <c r="B3" s="6" t="s">
        <v>193</v>
      </c>
      <c r="C3" s="6" t="s">
        <v>194</v>
      </c>
      <c r="D3" s="6" t="s">
        <v>195</v>
      </c>
    </row>
    <row r="4" spans="1:4" x14ac:dyDescent="0.25">
      <c r="A4" t="s">
        <v>196</v>
      </c>
      <c r="B4" t="s">
        <v>197</v>
      </c>
      <c r="C4" t="s">
        <v>198</v>
      </c>
      <c r="D4" t="s">
        <v>199</v>
      </c>
    </row>
    <row r="5" spans="1:4" x14ac:dyDescent="0.25">
      <c r="A5" t="s">
        <v>200</v>
      </c>
      <c r="B5" t="s">
        <v>201</v>
      </c>
      <c r="C5" t="s">
        <v>202</v>
      </c>
      <c r="D5" t="s">
        <v>203</v>
      </c>
    </row>
    <row r="6" spans="1:4" x14ac:dyDescent="0.25">
      <c r="A6" t="s">
        <v>204</v>
      </c>
      <c r="B6" t="s">
        <v>205</v>
      </c>
      <c r="C6" t="s">
        <v>206</v>
      </c>
      <c r="D6" t="s">
        <v>207</v>
      </c>
    </row>
    <row r="7" spans="1:4" x14ac:dyDescent="0.25">
      <c r="A7" t="s">
        <v>208</v>
      </c>
      <c r="B7" t="s">
        <v>209</v>
      </c>
      <c r="C7" t="s">
        <v>210</v>
      </c>
      <c r="D7" t="s">
        <v>211</v>
      </c>
    </row>
    <row r="8" spans="1:4" x14ac:dyDescent="0.25">
      <c r="A8" t="s">
        <v>212</v>
      </c>
      <c r="B8" t="s">
        <v>213</v>
      </c>
      <c r="C8" t="s">
        <v>214</v>
      </c>
      <c r="D8" t="s">
        <v>215</v>
      </c>
    </row>
    <row r="9" spans="1:4" x14ac:dyDescent="0.25">
      <c r="A9" t="s">
        <v>216</v>
      </c>
      <c r="B9" t="s">
        <v>217</v>
      </c>
      <c r="C9" t="s">
        <v>218</v>
      </c>
      <c r="D9" t="s">
        <v>219</v>
      </c>
    </row>
    <row r="10" spans="1:4" x14ac:dyDescent="0.25">
      <c r="A10" t="s">
        <v>220</v>
      </c>
      <c r="B10" t="s">
        <v>221</v>
      </c>
      <c r="C10" t="s">
        <v>222</v>
      </c>
      <c r="D10" t="s">
        <v>223</v>
      </c>
    </row>
    <row r="11" spans="1:4" x14ac:dyDescent="0.25">
      <c r="A11" t="s">
        <v>224</v>
      </c>
      <c r="B11" t="s">
        <v>225</v>
      </c>
      <c r="C11" t="s">
        <v>226</v>
      </c>
      <c r="D11" t="s">
        <v>227</v>
      </c>
    </row>
    <row r="12" spans="1:4" x14ac:dyDescent="0.25">
      <c r="A12" t="s">
        <v>228</v>
      </c>
      <c r="B12" t="s">
        <v>229</v>
      </c>
      <c r="C12" t="s">
        <v>230</v>
      </c>
      <c r="D12" t="s">
        <v>231</v>
      </c>
    </row>
    <row r="13" spans="1:4" x14ac:dyDescent="0.25">
      <c r="A13" t="s">
        <v>232</v>
      </c>
      <c r="B13" t="s">
        <v>233</v>
      </c>
      <c r="C13" t="s">
        <v>234</v>
      </c>
      <c r="D13" t="s">
        <v>235</v>
      </c>
    </row>
    <row r="14" spans="1:4" x14ac:dyDescent="0.25">
      <c r="A14" t="s">
        <v>236</v>
      </c>
      <c r="B14" t="s">
        <v>237</v>
      </c>
      <c r="C14" t="s">
        <v>238</v>
      </c>
      <c r="D14" t="s">
        <v>239</v>
      </c>
    </row>
    <row r="17" spans="1:1" x14ac:dyDescent="0.25">
      <c r="A17" s="12" t="s">
        <v>240</v>
      </c>
    </row>
    <row r="18" spans="1:4" x14ac:dyDescent="0.25">
      <c r="A18" s="13" t="s">
        <v>241</v>
      </c>
      <c r="B18" t="s">
        <v>242</v>
      </c>
      <c r="C18" t="s">
        <v>243</v>
      </c>
      <c r="D18" t="s">
        <v>244</v>
      </c>
    </row>
    <row r="19" spans="1:4" x14ac:dyDescent="0.25">
      <c r="A19" s="13" t="s">
        <v>241</v>
      </c>
      <c r="B19" t="s">
        <v>245</v>
      </c>
      <c r="C19" t="s">
        <v>246</v>
      </c>
      <c r="D19" t="s">
        <v>247</v>
      </c>
    </row>
    <row r="20" spans="1:4" x14ac:dyDescent="0.25">
      <c r="A20" s="13" t="s">
        <v>241</v>
      </c>
      <c r="B20" t="s">
        <v>248</v>
      </c>
      <c r="C20" t="s">
        <v>249</v>
      </c>
      <c r="D20" t="s">
        <v>250</v>
      </c>
    </row>
    <row r="21" spans="1:4" x14ac:dyDescent="0.25">
      <c r="A21" s="13" t="s">
        <v>241</v>
      </c>
      <c r="B21" t="s">
        <v>251</v>
      </c>
      <c r="C21" t="s">
        <v>252</v>
      </c>
      <c r="D21" t="s">
        <v>107</v>
      </c>
    </row>
    <row r="22" spans="1:4" x14ac:dyDescent="0.25">
      <c r="A22" s="13" t="s">
        <v>241</v>
      </c>
      <c r="B22" t="s">
        <v>253</v>
      </c>
      <c r="C22" t="s">
        <v>254</v>
      </c>
      <c r="D22" t="s">
        <v>255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</vt:lpstr>
      <vt:lpstr>Revenue Model</vt:lpstr>
      <vt:lpstr>User Growth</vt:lpstr>
      <vt:lpstr>P&amp;L</vt:lpstr>
      <vt:lpstr>Expenses</vt:lpstr>
      <vt:lpstr>Unit Economics</vt:lpstr>
      <vt:lpstr>Funding Use</vt:lpstr>
      <vt:lpstr>Milestones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PhillySports.com</dc:creator>
  <dc:title/>
  <dc:subject/>
  <dc:description/>
  <cp:keywords/>
  <cp:category/>
  <cp:lastModifiedBy>Unknown</cp:lastModifiedBy>
  <dcterms:created xsi:type="dcterms:W3CDTF">2026-01-19T01:34:09Z</dcterms:created>
  <dcterms:modified xsi:type="dcterms:W3CDTF">2026-01-19T01:34:09Z</dcterms:modified>
</cp:coreProperties>
</file>